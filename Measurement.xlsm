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imaxS\Desktop\"/>
    </mc:Choice>
  </mc:AlternateContent>
  <bookViews>
    <workbookView xWindow="0" yWindow="0" windowWidth="20490" windowHeight="7755" activeTab="1"/>
  </bookViews>
  <sheets>
    <sheet name="Лист2" sheetId="2" r:id="rId1"/>
    <sheet name="Лист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2" i="1" l="1"/>
  <c r="D92" i="1"/>
  <c r="C90" i="1"/>
  <c r="D89" i="1"/>
  <c r="D87" i="1"/>
  <c r="C83" i="1"/>
  <c r="C82" i="1"/>
  <c r="C74" i="1"/>
  <c r="G69" i="1"/>
  <c r="B32" i="1" l="1"/>
  <c r="C31" i="1" s="1"/>
  <c r="D31" i="1" l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32" i="1" s="1"/>
  <c r="B33" i="1" s="1"/>
  <c r="E31" i="1" s="1"/>
  <c r="F31" i="1" l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F30" i="1" l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K16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33" i="1"/>
  <c r="F64" i="1" s="1"/>
  <c r="F2" i="1"/>
  <c r="K31" i="1"/>
  <c r="B36" i="1" l="1"/>
  <c r="F32" i="1"/>
  <c r="G31" i="1" s="1"/>
  <c r="H31" i="1" s="1"/>
  <c r="I31" i="1" s="1"/>
  <c r="K2" i="1"/>
  <c r="G3" i="1"/>
  <c r="H3" i="1" s="1"/>
  <c r="I3" i="1" s="1"/>
  <c r="K3" i="1"/>
  <c r="G4" i="1"/>
  <c r="H4" i="1" s="1"/>
  <c r="I4" i="1" s="1"/>
  <c r="K4" i="1"/>
  <c r="G5" i="1"/>
  <c r="H5" i="1" s="1"/>
  <c r="I5" i="1" s="1"/>
  <c r="K5" i="1"/>
  <c r="G6" i="1"/>
  <c r="H6" i="1" s="1"/>
  <c r="I6" i="1" s="1"/>
  <c r="K6" i="1"/>
  <c r="G7" i="1"/>
  <c r="H7" i="1" s="1"/>
  <c r="I7" i="1" s="1"/>
  <c r="K7" i="1"/>
  <c r="G8" i="1"/>
  <c r="H8" i="1" s="1"/>
  <c r="I8" i="1" s="1"/>
  <c r="K8" i="1"/>
  <c r="G9" i="1"/>
  <c r="H9" i="1" s="1"/>
  <c r="I9" i="1" s="1"/>
  <c r="K9" i="1"/>
  <c r="G10" i="1"/>
  <c r="H10" i="1" s="1"/>
  <c r="I10" i="1" s="1"/>
  <c r="K10" i="1"/>
  <c r="G11" i="1"/>
  <c r="H11" i="1" s="1"/>
  <c r="I11" i="1" s="1"/>
  <c r="K11" i="1"/>
  <c r="G12" i="1"/>
  <c r="H12" i="1" s="1"/>
  <c r="I12" i="1" s="1"/>
  <c r="K12" i="1"/>
  <c r="G13" i="1"/>
  <c r="H13" i="1" s="1"/>
  <c r="I13" i="1" s="1"/>
  <c r="K13" i="1"/>
  <c r="G14" i="1"/>
  <c r="H14" i="1" s="1"/>
  <c r="I14" i="1" s="1"/>
  <c r="K14" i="1"/>
  <c r="G15" i="1"/>
  <c r="H15" i="1" s="1"/>
  <c r="I15" i="1" s="1"/>
  <c r="K15" i="1"/>
  <c r="G16" i="1"/>
  <c r="H16" i="1" s="1"/>
  <c r="I16" i="1" s="1"/>
  <c r="G17" i="1"/>
  <c r="H17" i="1" s="1"/>
  <c r="I17" i="1" s="1"/>
  <c r="K17" i="1"/>
  <c r="G18" i="1"/>
  <c r="H18" i="1" s="1"/>
  <c r="I18" i="1" s="1"/>
  <c r="K18" i="1"/>
  <c r="G19" i="1"/>
  <c r="H19" i="1" s="1"/>
  <c r="I19" i="1" s="1"/>
  <c r="K19" i="1"/>
  <c r="G20" i="1"/>
  <c r="H20" i="1" s="1"/>
  <c r="I20" i="1" s="1"/>
  <c r="K20" i="1"/>
  <c r="G21" i="1"/>
  <c r="H21" i="1" s="1"/>
  <c r="I21" i="1" s="1"/>
  <c r="K21" i="1"/>
  <c r="G22" i="1"/>
  <c r="H22" i="1" s="1"/>
  <c r="I22" i="1" s="1"/>
  <c r="K22" i="1"/>
  <c r="G23" i="1"/>
  <c r="H23" i="1" s="1"/>
  <c r="I23" i="1" s="1"/>
  <c r="K23" i="1"/>
  <c r="G24" i="1"/>
  <c r="H24" i="1" s="1"/>
  <c r="I24" i="1" s="1"/>
  <c r="K24" i="1"/>
  <c r="G25" i="1"/>
  <c r="H25" i="1" s="1"/>
  <c r="I25" i="1" s="1"/>
  <c r="K25" i="1"/>
  <c r="G26" i="1"/>
  <c r="H26" i="1" s="1"/>
  <c r="I26" i="1" s="1"/>
  <c r="K26" i="1"/>
  <c r="G27" i="1"/>
  <c r="H27" i="1" s="1"/>
  <c r="I27" i="1" s="1"/>
  <c r="K27" i="1"/>
  <c r="G28" i="1"/>
  <c r="H28" i="1" s="1"/>
  <c r="I28" i="1" s="1"/>
  <c r="K28" i="1"/>
  <c r="G29" i="1"/>
  <c r="H29" i="1" s="1"/>
  <c r="I29" i="1" s="1"/>
  <c r="K29" i="1"/>
  <c r="G30" i="1"/>
  <c r="H30" i="1" s="1"/>
  <c r="I30" i="1" s="1"/>
  <c r="K30" i="1"/>
  <c r="B35" i="1" l="1"/>
  <c r="G2" i="1"/>
  <c r="H2" i="1" s="1"/>
  <c r="D36" i="1"/>
  <c r="I2" i="1" l="1"/>
  <c r="I32" i="1" s="1"/>
  <c r="H32" i="1"/>
  <c r="G36" i="1"/>
  <c r="F37" i="1" s="1"/>
  <c r="F36" i="1"/>
  <c r="I36" i="1" s="1"/>
  <c r="G37" i="1" l="1"/>
  <c r="F38" i="1" s="1"/>
  <c r="B60" i="1"/>
  <c r="B61" i="1" s="1"/>
  <c r="C62" i="1" s="1"/>
  <c r="H33" i="1"/>
  <c r="C66" i="1" s="1"/>
  <c r="E67" i="1" s="1"/>
  <c r="E68" i="1" s="1"/>
  <c r="G38" i="1" l="1"/>
  <c r="F39" i="1" s="1"/>
  <c r="I37" i="1"/>
  <c r="G39" i="1" l="1"/>
  <c r="F40" i="1" s="1"/>
  <c r="I38" i="1"/>
  <c r="G40" i="1" l="1"/>
  <c r="F41" i="1" s="1"/>
  <c r="I39" i="1"/>
  <c r="G41" i="1" l="1"/>
  <c r="F42" i="1" s="1"/>
  <c r="I40" i="1"/>
  <c r="G42" i="1" l="1"/>
  <c r="I42" i="1" s="1"/>
  <c r="I41" i="1"/>
</calcChain>
</file>

<file path=xl/sharedStrings.xml><?xml version="1.0" encoding="utf-8"?>
<sst xmlns="http://schemas.openxmlformats.org/spreadsheetml/2006/main" count="63" uniqueCount="60">
  <si>
    <t>№</t>
  </si>
  <si>
    <t>xi</t>
  </si>
  <si>
    <t>xi-xcp</t>
  </si>
  <si>
    <r>
      <t>(xi-xcp)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</si>
  <si>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Ср.знч.</t>
  </si>
  <si>
    <r>
      <t>∑(xi-xcp)</t>
    </r>
    <r>
      <rPr>
        <vertAlign val="superscript"/>
        <sz val="11"/>
        <color theme="1"/>
        <rFont val="Calibri"/>
        <family val="2"/>
        <charset val="204"/>
      </rPr>
      <t>2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</si>
  <si>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x </t>
    </r>
    <r>
      <rPr>
        <sz val="11"/>
        <color theme="1"/>
        <rFont val="Calibri"/>
        <family val="2"/>
        <charset val="204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</si>
  <si>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charset val="204"/>
        <scheme val="minor"/>
      </rPr>
      <t>ш</t>
    </r>
    <r>
      <rPr>
        <sz val="11"/>
        <color theme="1"/>
        <rFont val="Calibri"/>
        <family val="2"/>
        <charset val="204"/>
        <scheme val="minor"/>
      </rPr>
      <t xml:space="preserve"> =</t>
    </r>
  </si>
  <si>
    <t>Скорр.к-во</t>
  </si>
  <si>
    <t>2. Предварительная оценка вида распределения результатов измерений или случайных погрешностей</t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</si>
  <si>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min </t>
    </r>
    <r>
      <rPr>
        <sz val="11"/>
        <color theme="1"/>
        <rFont val="Calibri"/>
        <family val="2"/>
        <charset val="204"/>
        <scheme val="minor"/>
      </rPr>
      <t>=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</si>
  <si>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max </t>
    </r>
    <r>
      <rPr>
        <sz val="11"/>
        <color theme="1"/>
        <rFont val="Calibri"/>
        <family val="2"/>
        <charset val="204"/>
        <scheme val="minor"/>
      </rPr>
      <t>=</t>
    </r>
  </si>
  <si>
    <t>r =</t>
  </si>
  <si>
    <t>h =</t>
  </si>
  <si>
    <t>Интервалы</t>
  </si>
  <si>
    <t>Частоты:</t>
  </si>
  <si>
    <t>3.Оценка закона распределения по статистическим критериям</t>
  </si>
  <si>
    <t xml:space="preserve">Критерий 1. </t>
  </si>
  <si>
    <t>S* =</t>
  </si>
  <si>
    <t>d =</t>
  </si>
  <si>
    <r>
      <t>Значение d</t>
    </r>
    <r>
      <rPr>
        <vertAlign val="subscript"/>
        <sz val="11"/>
        <color theme="1"/>
        <rFont val="Calibri"/>
        <family val="2"/>
        <charset val="204"/>
        <scheme val="minor"/>
      </rPr>
      <t>1-q/2</t>
    </r>
    <r>
      <rPr>
        <sz val="11"/>
        <color theme="1"/>
        <rFont val="Calibri"/>
        <family val="2"/>
        <charset val="204"/>
        <scheme val="minor"/>
      </rPr>
      <t xml:space="preserve"> =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</si>
  <si>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q/2</t>
    </r>
    <r>
      <rPr>
        <sz val="11"/>
        <color theme="1"/>
        <rFont val="Calibri"/>
        <family val="2"/>
        <charset val="204"/>
        <scheme val="minor"/>
      </rPr>
      <t xml:space="preserve"> =</t>
    </r>
  </si>
  <si>
    <t>по табл. 3</t>
  </si>
  <si>
    <t>при q/2 =</t>
  </si>
  <si>
    <t>критерий 1</t>
  </si>
  <si>
    <t xml:space="preserve">Выберем уровень значимости q = </t>
  </si>
  <si>
    <t>Тогда для n =</t>
  </si>
  <si>
    <t>p =</t>
  </si>
  <si>
    <t>(из табл. 4) и m=</t>
  </si>
  <si>
    <r>
      <t>А из табл. 5 z</t>
    </r>
    <r>
      <rPr>
        <vertAlign val="subscript"/>
        <sz val="11"/>
        <color theme="1"/>
        <rFont val="Calibri"/>
        <family val="2"/>
        <charset val="204"/>
        <scheme val="minor"/>
      </rPr>
      <t>p/2</t>
    </r>
    <r>
      <rPr>
        <sz val="11"/>
        <color theme="1"/>
        <rFont val="Calibri"/>
        <family val="2"/>
        <charset val="204"/>
        <scheme val="minor"/>
      </rPr>
      <t xml:space="preserve"> =</t>
    </r>
  </si>
  <si>
    <r>
      <t>Найдём S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charset val="204"/>
        <scheme val="minor"/>
      </rPr>
      <t>*z</t>
    </r>
    <r>
      <rPr>
        <vertAlign val="subscript"/>
        <sz val="11"/>
        <color theme="1"/>
        <rFont val="Calibri"/>
        <family val="2"/>
        <charset val="204"/>
        <scheme val="minor"/>
      </rPr>
      <t>p/2</t>
    </r>
    <r>
      <rPr>
        <sz val="11"/>
        <color theme="1"/>
        <rFont val="Calibri"/>
        <family val="2"/>
        <charset val="204"/>
        <scheme val="minor"/>
      </rPr>
      <t xml:space="preserve"> =</t>
    </r>
  </si>
  <si>
    <r>
      <t>Количество разностей |x-xcp| превосходящих S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charset val="204"/>
        <scheme val="minor"/>
      </rPr>
      <t>*z</t>
    </r>
    <r>
      <rPr>
        <vertAlign val="subscript"/>
        <sz val="11"/>
        <color theme="1"/>
        <rFont val="Calibri"/>
        <family val="2"/>
        <charset val="204"/>
        <scheme val="minor"/>
      </rPr>
      <t>p/2</t>
    </r>
    <r>
      <rPr>
        <sz val="11"/>
        <color theme="1"/>
        <rFont val="Calibri"/>
        <family val="2"/>
        <charset val="204"/>
        <scheme val="minor"/>
      </rPr>
      <t xml:space="preserve"> = </t>
    </r>
  </si>
  <si>
    <t>Если количество разностей меньше m, то критерий 2</t>
  </si>
  <si>
    <t xml:space="preserve">Следовательно, гипотеза о нормальности распределения данных </t>
  </si>
  <si>
    <t xml:space="preserve">Применим критерий 2. </t>
  </si>
  <si>
    <t>4.Определение доверительных границ случайной погрешности</t>
  </si>
  <si>
    <r>
      <t xml:space="preserve">Коэффициент Стьюдента при доверительной вероятности </t>
    </r>
    <r>
      <rPr>
        <i/>
        <sz val="16"/>
        <color theme="1"/>
        <rFont val="Times New Roman"/>
        <family val="1"/>
        <charset val="204"/>
      </rPr>
      <t>Р</t>
    </r>
    <r>
      <rPr>
        <i/>
        <vertAlign val="subscript"/>
        <sz val="16"/>
        <color theme="1"/>
        <rFont val="Times New Roman"/>
        <family val="1"/>
        <charset val="204"/>
      </rPr>
      <t>д</t>
    </r>
    <r>
      <rPr>
        <sz val="16"/>
        <color theme="1"/>
        <rFont val="Times New Roman"/>
        <family val="1"/>
        <charset val="204"/>
      </rPr>
      <t xml:space="preserve">=0,95 и при </t>
    </r>
    <r>
      <rPr>
        <i/>
        <sz val="16"/>
        <color theme="1"/>
        <rFont val="Times New Roman"/>
        <family val="1"/>
        <charset val="204"/>
      </rPr>
      <t>n</t>
    </r>
    <r>
      <rPr>
        <sz val="16"/>
        <color theme="1"/>
        <rFont val="Times New Roman"/>
        <family val="1"/>
        <charset val="204"/>
      </rPr>
      <t>=29 равен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</si>
  <si>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p</t>
    </r>
    <r>
      <rPr>
        <sz val="11"/>
        <color theme="1"/>
        <rFont val="Calibri"/>
        <family val="2"/>
        <charset val="204"/>
        <scheme val="minor"/>
      </rPr>
      <t xml:space="preserve"> =</t>
    </r>
  </si>
  <si>
    <t>Тогда доверительные границы случайной погрешности</t>
  </si>
  <si>
    <r>
      <rPr>
        <sz val="11"/>
        <color theme="1"/>
        <rFont val="Calibri"/>
        <family val="2"/>
        <charset val="204"/>
      </rPr>
      <t>∆</t>
    </r>
    <r>
      <rPr>
        <vertAlign val="subscript"/>
        <sz val="11"/>
        <color theme="1"/>
        <rFont val="Calibri"/>
        <family val="2"/>
        <charset val="204"/>
      </rPr>
      <t>C</t>
    </r>
    <r>
      <rPr>
        <sz val="11"/>
        <color theme="1"/>
        <rFont val="Calibri"/>
        <family val="2"/>
        <charset val="204"/>
      </rPr>
      <t xml:space="preserve"> = ±t</t>
    </r>
    <r>
      <rPr>
        <vertAlign val="subscript"/>
        <sz val="11"/>
        <color theme="1"/>
        <rFont val="Calibri"/>
        <family val="2"/>
        <charset val="204"/>
      </rPr>
      <t>p</t>
    </r>
    <r>
      <rPr>
        <sz val="11"/>
        <color theme="1"/>
        <rFont val="Calibri"/>
        <family val="2"/>
        <charset val="204"/>
      </rPr>
      <t>*S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  <charset val="204"/>
      </rPr>
      <t>/√n =</t>
    </r>
  </si>
  <si>
    <t>5.Определение границ неисключенной систематической погрешности результата измерения</t>
  </si>
  <si>
    <t>Границы неисключенной систематической погрешности q принимают равными пределам допускаемых основных и дополнительных погрешностей</t>
  </si>
  <si>
    <t xml:space="preserve"> средства измерения. Для используемого штангенциркуля 16 EWRi пределы допускаемой абсолютной погрешности:</t>
  </si>
  <si>
    <r>
      <t xml:space="preserve">1. Δ = </t>
    </r>
    <r>
      <rPr>
        <sz val="12"/>
        <color theme="1"/>
        <rFont val="Symbol"/>
        <family val="1"/>
        <charset val="2"/>
      </rPr>
      <t>±</t>
    </r>
    <r>
      <rPr>
        <sz val="11"/>
        <color theme="1"/>
        <rFont val="Times New Roman"/>
        <family val="1"/>
        <charset val="204"/>
      </rPr>
      <t>0,02 мм на длине от 0 до 100мм;</t>
    </r>
  </si>
  <si>
    <t>2. Δ = ±0,03 мм на длине от 100 до 200мм.</t>
  </si>
  <si>
    <r>
      <t xml:space="preserve">Принимаем </t>
    </r>
    <r>
      <rPr>
        <sz val="11"/>
        <color theme="1"/>
        <rFont val="Calibri"/>
        <family val="2"/>
        <charset val="204"/>
      </rPr>
      <t>ϴ = ∆ = ±</t>
    </r>
  </si>
  <si>
    <r>
      <t>6.</t>
    </r>
    <r>
      <rPr>
        <b/>
        <sz val="16"/>
        <color theme="1"/>
        <rFont val="Times New Roman"/>
        <family val="1"/>
        <charset val="204"/>
      </rPr>
      <t xml:space="preserve"> </t>
    </r>
    <r>
      <rPr>
        <b/>
        <i/>
        <sz val="16"/>
        <color theme="1"/>
        <rFont val="Times New Roman"/>
        <family val="1"/>
        <charset val="204"/>
      </rPr>
      <t>Определение доверительных границ погрешности результата измерения</t>
    </r>
  </si>
  <si>
    <r>
      <t>Определим S</t>
    </r>
    <r>
      <rPr>
        <sz val="11"/>
        <color theme="1"/>
        <rFont val="Calibri"/>
        <family val="2"/>
        <charset val="204"/>
      </rPr>
      <t>ẋ = Sx/√n =</t>
    </r>
  </si>
  <si>
    <r>
      <t xml:space="preserve">Определяем </t>
    </r>
    <r>
      <rPr>
        <sz val="11"/>
        <color theme="1"/>
        <rFont val="Calibri"/>
        <family val="2"/>
        <charset val="204"/>
      </rPr>
      <t>ϴ/Sẋ =</t>
    </r>
  </si>
  <si>
    <t xml:space="preserve">Согласно ГОСТ 8.207–76 погрешность результата измерения определяют по следующему правилу. </t>
  </si>
  <si>
    <t>погрешности и учитывать только случайную погрешность результата.</t>
  </si>
  <si>
    <r>
      <t xml:space="preserve">В нашем случае </t>
    </r>
    <r>
      <rPr>
        <sz val="11"/>
        <color theme="1"/>
        <rFont val="Calibri"/>
        <family val="2"/>
        <charset val="204"/>
      </rPr>
      <t>ϴ =</t>
    </r>
  </si>
  <si>
    <t xml:space="preserve"> Если границы неисключенной систематической погрешности ϴ/Sẋ&lt; 0,8, то следует пренебречь систематической составляющей </t>
  </si>
  <si>
    <t>Если условие ϴ/Sẋ выполняется,  то пренебрегают случайной погрешностью.</t>
  </si>
  <si>
    <r>
      <t xml:space="preserve">В нашем случае </t>
    </r>
    <r>
      <rPr>
        <sz val="11"/>
        <color theme="1"/>
        <rFont val="Calibri"/>
        <family val="2"/>
        <charset val="204"/>
      </rPr>
      <t>∆</t>
    </r>
    <r>
      <rPr>
        <vertAlign val="subscript"/>
        <sz val="11"/>
        <color theme="1"/>
        <rFont val="Calibri"/>
        <family val="2"/>
        <charset val="204"/>
      </rPr>
      <t>C</t>
    </r>
    <r>
      <rPr>
        <sz val="11"/>
        <color theme="1"/>
        <rFont val="Calibri"/>
        <family val="2"/>
        <charset val="204"/>
      </rPr>
      <t xml:space="preserve"> =</t>
    </r>
  </si>
  <si>
    <r>
      <t xml:space="preserve">Тогда </t>
    </r>
    <r>
      <rPr>
        <sz val="11"/>
        <color theme="1"/>
        <rFont val="Calibri"/>
        <family val="2"/>
        <charset val="204"/>
      </rPr>
      <t>∆</t>
    </r>
    <r>
      <rPr>
        <vertAlign val="subscript"/>
        <sz val="11"/>
        <color theme="1"/>
        <rFont val="Calibri"/>
        <family val="2"/>
        <charset val="204"/>
      </rPr>
      <t>р</t>
    </r>
    <r>
      <rPr>
        <sz val="11"/>
        <color theme="1"/>
        <rFont val="Calibri"/>
        <family val="2"/>
        <charset val="204"/>
      </rPr>
      <t xml:space="preserve"> = √(∆</t>
    </r>
    <r>
      <rPr>
        <vertAlign val="subscript"/>
        <sz val="11"/>
        <color theme="1"/>
        <rFont val="Calibri"/>
        <family val="2"/>
        <charset val="204"/>
      </rPr>
      <t>С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  <charset val="204"/>
      </rPr>
      <t xml:space="preserve"> + ϴ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  <charset val="204"/>
      </rPr>
      <t>) =</t>
    </r>
  </si>
  <si>
    <t>7. Запись результата измерения</t>
  </si>
  <si>
    <r>
      <t>Результат измерения x = 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cp </t>
    </r>
    <r>
      <rPr>
        <sz val="11"/>
        <color theme="1"/>
        <rFont val="Calibri"/>
        <family val="2"/>
        <charset val="204"/>
      </rPr>
      <t>± ∆</t>
    </r>
    <r>
      <rPr>
        <vertAlign val="subscript"/>
        <sz val="11"/>
        <color theme="1"/>
        <rFont val="Calibri"/>
        <family val="2"/>
        <charset val="204"/>
      </rPr>
      <t>p</t>
    </r>
    <r>
      <rPr>
        <sz val="11"/>
        <color theme="1"/>
        <rFont val="Calibri"/>
        <family val="2"/>
        <charset val="204"/>
      </rPr>
      <t xml:space="preserve"> =</t>
    </r>
  </si>
  <si>
    <t>±</t>
  </si>
  <si>
    <t xml:space="preserve">мм при Р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</si>
</sst>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15" x14ac:knownFonts="1">
    <font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b/>
      <i/>
      <sz val="16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6"/>
      <color theme="1"/>
      <name val="Times New Roman"/>
      <family val="1"/>
      <charset val="204"/>
    </font>
    <font>
      <i/>
      <sz val="16"/>
      <color theme="1"/>
      <name val="Times New Roman"/>
      <family val="1"/>
      <charset val="204"/>
    </font>
    <font>
      <i/>
      <vertAlign val="subscript"/>
      <sz val="16"/>
      <color theme="1"/>
      <name val="Times New Roman"/>
      <family val="1"/>
      <charset val="204"/>
    </font>
    <font>
      <vertAlign val="subscript"/>
      <sz val="11"/>
      <color theme="1"/>
      <name val="Calibri"/>
      <family val="2"/>
      <charset val="204"/>
    </font>
    <font>
      <sz val="12"/>
      <color theme="1"/>
      <name val="Symbol"/>
      <family val="1"/>
      <charset val="2"/>
    </font>
    <font>
      <sz val="11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0" fillId="0" borderId="0" xfId="0" applyAlignment="1">
      <alignment horizontal="right"/>
    </xf>
    <xf numFmtId="9" fontId="0" fillId="0" borderId="0" xfId="0" applyNumberFormat="1"/>
    <xf numFmtId="0" fontId="7" fillId="0" borderId="0" xfId="0" applyFont="1"/>
    <xf numFmtId="0" fontId="5" fillId="0" borderId="0" xfId="0" applyFont="1"/>
    <xf numFmtId="0" fontId="8" fillId="0" borderId="0" xfId="0" applyFon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02222222222221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Лист1!$I$35</c:f>
              <c:strCache>
                <c:ptCount val="1"/>
                <c:pt idx="0">
                  <c:v>Частоты: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7"/>
              <c:pt idx="0">
                <c:v>25,12</c:v>
              </c:pt>
              <c:pt idx="1">
                <c:v>25,13</c:v>
              </c:pt>
              <c:pt idx="2">
                <c:v>25,14</c:v>
              </c:pt>
              <c:pt idx="3">
                <c:v>25,15</c:v>
              </c:pt>
              <c:pt idx="4">
                <c:v>25,16</c:v>
              </c:pt>
              <c:pt idx="5">
                <c:v>25,17</c:v>
              </c:pt>
              <c:pt idx="6">
                <c:v>25,18</c:v>
              </c:pt>
            </c:strLit>
          </c:cat>
          <c:val>
            <c:numRef>
              <c:f>Лист1!$I$36:$I$42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9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790320"/>
        <c:axId val="109790880"/>
      </c:barChart>
      <c:catAx>
        <c:axId val="10979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9790880"/>
        <c:crosses val="autoZero"/>
        <c:auto val="1"/>
        <c:lblAlgn val="ctr"/>
        <c:lblOffset val="100"/>
        <c:tickLblSkip val="1"/>
        <c:noMultiLvlLbl val="0"/>
      </c:catAx>
      <c:valAx>
        <c:axId val="1097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979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757237</xdr:colOff>
      <xdr:row>42</xdr:row>
      <xdr:rowOff>19050</xdr:rowOff>
    </xdr:from>
    <xdr:to>
      <xdr:col>8</xdr:col>
      <xdr:colOff>128587</xdr:colOff>
      <xdr:row>56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K92"/>
  <sheetViews>
    <sheetView tabSelected="1" topLeftCell="A78" workbookViewId="0">
      <selection activeCell="H93" sqref="H93"/>
    </sheetView>
  </sheetViews>
  <sheetFormatPr defaultRowHeight="15" x14ac:dyDescent="0.25"/>
  <cols>
    <col min="2" max="2" width="13.140625" customWidth="1"/>
    <col min="3" max="3" width="12.140625" customWidth="1"/>
    <col min="4" max="4" width="17" customWidth="1"/>
    <col min="5" max="5" width="14" customWidth="1"/>
    <col min="6" max="6" width="12.5703125" customWidth="1"/>
    <col min="7" max="7" width="13.140625" customWidth="1"/>
    <col min="9" max="9" width="17.140625" customWidth="1"/>
  </cols>
  <sheetData>
    <row r="1" spans="1:11" ht="17.25" x14ac:dyDescent="0.25">
      <c r="A1" s="1" t="s">
        <v>0</v>
      </c>
      <c r="B1" s="1" t="s">
        <v>1</v>
      </c>
      <c r="C1" s="1" t="s">
        <v>2</v>
      </c>
      <c r="D1" s="1" t="s">
        <v>3</v>
      </c>
      <c r="F1" s="1" t="s">
        <v>1</v>
      </c>
    </row>
    <row r="2" spans="1:11" x14ac:dyDescent="0.25">
      <c r="A2">
        <v>1</v>
      </c>
      <c r="B2">
        <v>25.15</v>
      </c>
      <c r="C2">
        <f>B2-B32</f>
        <v>-3.9999999999942304E-3</v>
      </c>
      <c r="D2" s="2">
        <f>C2^2</f>
        <v>1.5999999999953843E-5</v>
      </c>
      <c r="E2">
        <f>IF(ABS(C2)&gt;(B33*D33),0,1)</f>
        <v>1</v>
      </c>
      <c r="F2">
        <f>B2*E2</f>
        <v>25.15</v>
      </c>
      <c r="G2">
        <f>(F2-F32)*E2</f>
        <v>-2.7600000000020941E-3</v>
      </c>
      <c r="H2">
        <f>ABS(G2)</f>
        <v>2.7600000000020941E-3</v>
      </c>
      <c r="I2">
        <f>ROUND(H2^2,8)</f>
        <v>7.6199999999999999E-6</v>
      </c>
      <c r="K2">
        <f>IF(E2=1,F2,1000000)</f>
        <v>25.15</v>
      </c>
    </row>
    <row r="3" spans="1:11" x14ac:dyDescent="0.25">
      <c r="A3">
        <v>2</v>
      </c>
      <c r="B3">
        <v>25.16</v>
      </c>
      <c r="C3">
        <f>B3-B32</f>
        <v>6.0000000000073328E-3</v>
      </c>
      <c r="D3" s="2">
        <f>C3^2</f>
        <v>3.6000000000087991E-5</v>
      </c>
      <c r="E3">
        <f>IF(ABS(C3)&gt;(B33*D33),0,1)</f>
        <v>1</v>
      </c>
      <c r="F3">
        <f t="shared" ref="F3:F31" si="0">B3*E3</f>
        <v>25.16</v>
      </c>
      <c r="G3">
        <f>(F3-F32)*E3</f>
        <v>7.2399999999994691E-3</v>
      </c>
      <c r="H3">
        <f>ABS(G3)</f>
        <v>7.2399999999994691E-3</v>
      </c>
      <c r="I3">
        <f t="shared" ref="I3:I31" si="1">ROUND(H3^2,8)</f>
        <v>5.2420000000000003E-5</v>
      </c>
      <c r="K3">
        <f t="shared" ref="K3:K31" si="2">IF(E3=1,F3,1000000)</f>
        <v>25.16</v>
      </c>
    </row>
    <row r="4" spans="1:11" x14ac:dyDescent="0.25">
      <c r="A4">
        <v>3</v>
      </c>
      <c r="B4">
        <v>25.14</v>
      </c>
      <c r="C4">
        <f>B4-B32</f>
        <v>-1.3999999999992241E-2</v>
      </c>
      <c r="D4" s="2">
        <f t="shared" ref="D4:D30" si="3">C4^2</f>
        <v>1.9599999999978275E-4</v>
      </c>
      <c r="E4">
        <f>IF(ABS(C4)&gt;(B33*D33),0,1)</f>
        <v>1</v>
      </c>
      <c r="F4">
        <f t="shared" si="0"/>
        <v>25.14</v>
      </c>
      <c r="G4">
        <f>(F4-F32)*E4</f>
        <v>-1.2760000000000105E-2</v>
      </c>
      <c r="H4">
        <f t="shared" ref="H4:H31" si="4">ABS(G4)</f>
        <v>1.2760000000000105E-2</v>
      </c>
      <c r="I4">
        <f t="shared" si="1"/>
        <v>1.6281999999999999E-4</v>
      </c>
      <c r="K4">
        <f t="shared" si="2"/>
        <v>25.14</v>
      </c>
    </row>
    <row r="5" spans="1:11" x14ac:dyDescent="0.25">
      <c r="A5">
        <v>4</v>
      </c>
      <c r="B5">
        <v>25.17</v>
      </c>
      <c r="C5">
        <f>B5-B32</f>
        <v>1.6000000000008896E-2</v>
      </c>
      <c r="D5" s="2">
        <f t="shared" si="3"/>
        <v>2.5600000000028465E-4</v>
      </c>
      <c r="E5">
        <f>IF(ABS(C5)&gt;(B33*D33),0,1)</f>
        <v>1</v>
      </c>
      <c r="F5">
        <f t="shared" si="0"/>
        <v>25.17</v>
      </c>
      <c r="G5">
        <f>(F5-F32)*E5</f>
        <v>1.7240000000001032E-2</v>
      </c>
      <c r="H5">
        <f t="shared" si="4"/>
        <v>1.7240000000001032E-2</v>
      </c>
      <c r="I5">
        <f t="shared" si="1"/>
        <v>2.9722E-4</v>
      </c>
      <c r="K5">
        <f t="shared" si="2"/>
        <v>25.17</v>
      </c>
    </row>
    <row r="6" spans="1:11" x14ac:dyDescent="0.25">
      <c r="A6">
        <v>5</v>
      </c>
      <c r="B6">
        <v>25.15</v>
      </c>
      <c r="C6">
        <f>B6-B32</f>
        <v>-3.9999999999942304E-3</v>
      </c>
      <c r="D6" s="2">
        <f t="shared" si="3"/>
        <v>1.5999999999953843E-5</v>
      </c>
      <c r="E6">
        <f>IF(ABS(C6)&gt;(B33*D33),0,1)</f>
        <v>1</v>
      </c>
      <c r="F6">
        <f t="shared" si="0"/>
        <v>25.15</v>
      </c>
      <c r="G6">
        <f>(F6-F32)*E6</f>
        <v>-2.7600000000020941E-3</v>
      </c>
      <c r="H6">
        <f t="shared" si="4"/>
        <v>2.7600000000020941E-3</v>
      </c>
      <c r="I6">
        <f t="shared" si="1"/>
        <v>7.6199999999999999E-6</v>
      </c>
      <c r="K6">
        <f t="shared" si="2"/>
        <v>25.15</v>
      </c>
    </row>
    <row r="7" spans="1:11" x14ac:dyDescent="0.25">
      <c r="A7">
        <v>6</v>
      </c>
      <c r="B7">
        <v>25.13</v>
      </c>
      <c r="C7">
        <f>B7-B32</f>
        <v>-2.3999999999993804E-2</v>
      </c>
      <c r="D7" s="2">
        <f t="shared" si="3"/>
        <v>5.7599999999970262E-4</v>
      </c>
      <c r="E7">
        <f>IF(ABS(C7)&gt;(B33*D33),0,1)</f>
        <v>1</v>
      </c>
      <c r="F7">
        <f t="shared" si="0"/>
        <v>25.13</v>
      </c>
      <c r="G7">
        <f>(F7-F32)*E7</f>
        <v>-2.2760000000001668E-2</v>
      </c>
      <c r="H7">
        <f t="shared" si="4"/>
        <v>2.2760000000001668E-2</v>
      </c>
      <c r="I7">
        <f t="shared" si="1"/>
        <v>5.1802E-4</v>
      </c>
      <c r="K7">
        <f t="shared" si="2"/>
        <v>25.13</v>
      </c>
    </row>
    <row r="8" spans="1:11" x14ac:dyDescent="0.25">
      <c r="A8">
        <v>7</v>
      </c>
      <c r="B8">
        <v>25.14</v>
      </c>
      <c r="C8">
        <f>B8-B32</f>
        <v>-1.3999999999992241E-2</v>
      </c>
      <c r="D8" s="2">
        <f t="shared" si="3"/>
        <v>1.9599999999978275E-4</v>
      </c>
      <c r="E8">
        <f>IF(ABS(C8)&gt;(B33*D33),0,1)</f>
        <v>1</v>
      </c>
      <c r="F8">
        <f t="shared" si="0"/>
        <v>25.14</v>
      </c>
      <c r="G8">
        <f>(F8-F32)*E8</f>
        <v>-1.2760000000000105E-2</v>
      </c>
      <c r="H8">
        <f t="shared" si="4"/>
        <v>1.2760000000000105E-2</v>
      </c>
      <c r="I8">
        <f t="shared" si="1"/>
        <v>1.6281999999999999E-4</v>
      </c>
      <c r="K8">
        <f t="shared" si="2"/>
        <v>25.14</v>
      </c>
    </row>
    <row r="9" spans="1:11" x14ac:dyDescent="0.25">
      <c r="A9">
        <v>8</v>
      </c>
      <c r="B9">
        <v>25.16</v>
      </c>
      <c r="C9">
        <f>B9-B32</f>
        <v>6.0000000000073328E-3</v>
      </c>
      <c r="D9" s="2">
        <f t="shared" si="3"/>
        <v>3.6000000000087991E-5</v>
      </c>
      <c r="E9">
        <f>IF(ABS(C9)&gt;(B33*D33),0,1)</f>
        <v>1</v>
      </c>
      <c r="F9">
        <f t="shared" si="0"/>
        <v>25.16</v>
      </c>
      <c r="G9">
        <f>(F9-F32)*E9</f>
        <v>7.2399999999994691E-3</v>
      </c>
      <c r="H9">
        <f t="shared" si="4"/>
        <v>7.2399999999994691E-3</v>
      </c>
      <c r="I9">
        <f t="shared" si="1"/>
        <v>5.2420000000000003E-5</v>
      </c>
      <c r="K9">
        <f t="shared" si="2"/>
        <v>25.16</v>
      </c>
    </row>
    <row r="10" spans="1:11" x14ac:dyDescent="0.25">
      <c r="A10">
        <v>9</v>
      </c>
      <c r="B10">
        <v>25.17</v>
      </c>
      <c r="C10">
        <f>B10-B32</f>
        <v>1.6000000000008896E-2</v>
      </c>
      <c r="D10" s="2">
        <f t="shared" si="3"/>
        <v>2.5600000000028465E-4</v>
      </c>
      <c r="E10">
        <f>IF(ABS(C10)&gt;(B33*D33),0,1)</f>
        <v>1</v>
      </c>
      <c r="F10">
        <f t="shared" si="0"/>
        <v>25.17</v>
      </c>
      <c r="G10">
        <f>(F10-F32)*E10</f>
        <v>1.7240000000001032E-2</v>
      </c>
      <c r="H10">
        <f t="shared" si="4"/>
        <v>1.7240000000001032E-2</v>
      </c>
      <c r="I10">
        <f t="shared" si="1"/>
        <v>2.9722E-4</v>
      </c>
      <c r="K10">
        <f t="shared" si="2"/>
        <v>25.17</v>
      </c>
    </row>
    <row r="11" spans="1:11" x14ac:dyDescent="0.25">
      <c r="A11">
        <v>10</v>
      </c>
      <c r="B11">
        <v>25.15</v>
      </c>
      <c r="C11">
        <f>B11-B32</f>
        <v>-3.9999999999942304E-3</v>
      </c>
      <c r="D11" s="2">
        <f t="shared" si="3"/>
        <v>1.5999999999953843E-5</v>
      </c>
      <c r="E11">
        <f>IF(ABS(C11)&gt;(B33*D33),0,1)</f>
        <v>1</v>
      </c>
      <c r="F11">
        <f t="shared" si="0"/>
        <v>25.15</v>
      </c>
      <c r="G11">
        <f>(F11-F32)*E11</f>
        <v>-2.7600000000020941E-3</v>
      </c>
      <c r="H11">
        <f t="shared" si="4"/>
        <v>2.7600000000020941E-3</v>
      </c>
      <c r="I11">
        <f t="shared" si="1"/>
        <v>7.6199999999999999E-6</v>
      </c>
      <c r="K11">
        <f t="shared" si="2"/>
        <v>25.15</v>
      </c>
    </row>
    <row r="12" spans="1:11" x14ac:dyDescent="0.25">
      <c r="A12">
        <v>11</v>
      </c>
      <c r="B12">
        <v>25.18</v>
      </c>
      <c r="C12">
        <f>B12-B32</f>
        <v>2.6000000000006906E-2</v>
      </c>
      <c r="D12" s="2">
        <f t="shared" si="3"/>
        <v>6.7600000000035915E-4</v>
      </c>
      <c r="E12">
        <f>IF(ABS(C12)&gt;(B33*D33),0,1)</f>
        <v>1</v>
      </c>
      <c r="F12">
        <f t="shared" si="0"/>
        <v>25.18</v>
      </c>
      <c r="G12">
        <f>(F12-F32)*E12</f>
        <v>2.7239999999999043E-2</v>
      </c>
      <c r="H12">
        <f t="shared" si="4"/>
        <v>2.7239999999999043E-2</v>
      </c>
      <c r="I12">
        <f t="shared" si="1"/>
        <v>7.4202000000000003E-4</v>
      </c>
      <c r="K12">
        <f t="shared" si="2"/>
        <v>25.18</v>
      </c>
    </row>
    <row r="13" spans="1:11" x14ac:dyDescent="0.25">
      <c r="A13">
        <v>12</v>
      </c>
      <c r="B13">
        <v>25.12</v>
      </c>
      <c r="C13">
        <f>B13-B32</f>
        <v>-3.3999999999991815E-2</v>
      </c>
      <c r="D13" s="2">
        <f t="shared" si="3"/>
        <v>1.1559999999994435E-3</v>
      </c>
      <c r="E13">
        <f>IF(ABS(C13)&gt;(B33*D33),0,1)</f>
        <v>1</v>
      </c>
      <c r="F13">
        <f t="shared" si="0"/>
        <v>25.12</v>
      </c>
      <c r="G13">
        <f>(F13-F32)*E13</f>
        <v>-3.2759999999999678E-2</v>
      </c>
      <c r="H13">
        <f t="shared" si="4"/>
        <v>3.2759999999999678E-2</v>
      </c>
      <c r="I13">
        <f t="shared" si="1"/>
        <v>1.0732199999999999E-3</v>
      </c>
      <c r="K13">
        <f t="shared" si="2"/>
        <v>25.12</v>
      </c>
    </row>
    <row r="14" spans="1:11" x14ac:dyDescent="0.25">
      <c r="A14">
        <v>13</v>
      </c>
      <c r="B14">
        <v>25.14</v>
      </c>
      <c r="C14">
        <f>B14-B32</f>
        <v>-1.3999999999992241E-2</v>
      </c>
      <c r="D14" s="2">
        <f t="shared" si="3"/>
        <v>1.9599999999978275E-4</v>
      </c>
      <c r="E14">
        <f>IF(ABS(C14)&gt;(B33*D33),0,1)</f>
        <v>1</v>
      </c>
      <c r="F14">
        <f t="shared" si="0"/>
        <v>25.14</v>
      </c>
      <c r="G14">
        <f>(F14-F32)*E14</f>
        <v>-1.2760000000000105E-2</v>
      </c>
      <c r="H14">
        <f t="shared" si="4"/>
        <v>1.2760000000000105E-2</v>
      </c>
      <c r="I14">
        <f t="shared" si="1"/>
        <v>1.6281999999999999E-4</v>
      </c>
      <c r="K14">
        <f t="shared" si="2"/>
        <v>25.14</v>
      </c>
    </row>
    <row r="15" spans="1:11" x14ac:dyDescent="0.25">
      <c r="A15">
        <v>14</v>
      </c>
      <c r="B15">
        <v>25.17</v>
      </c>
      <c r="C15">
        <f>B15-B32</f>
        <v>1.6000000000008896E-2</v>
      </c>
      <c r="D15" s="2">
        <f t="shared" si="3"/>
        <v>2.5600000000028465E-4</v>
      </c>
      <c r="E15">
        <f>IF(ABS(C15)&gt;(B33*D33),0,1)</f>
        <v>1</v>
      </c>
      <c r="F15">
        <f t="shared" si="0"/>
        <v>25.17</v>
      </c>
      <c r="G15">
        <f>(F15-F32)*E15</f>
        <v>1.7240000000001032E-2</v>
      </c>
      <c r="H15">
        <f t="shared" si="4"/>
        <v>1.7240000000001032E-2</v>
      </c>
      <c r="I15">
        <f t="shared" si="1"/>
        <v>2.9722E-4</v>
      </c>
      <c r="K15">
        <f t="shared" si="2"/>
        <v>25.17</v>
      </c>
    </row>
    <row r="16" spans="1:11" x14ac:dyDescent="0.25">
      <c r="A16">
        <v>15</v>
      </c>
      <c r="B16">
        <v>25.19</v>
      </c>
      <c r="C16">
        <f>B16-B32</f>
        <v>3.600000000000847E-2</v>
      </c>
      <c r="D16" s="2">
        <f t="shared" si="3"/>
        <v>1.2960000000006098E-3</v>
      </c>
      <c r="E16">
        <f>IF(ABS(C16)&gt;(B33*D33),0,1)</f>
        <v>0</v>
      </c>
      <c r="F16">
        <f t="shared" si="0"/>
        <v>0</v>
      </c>
      <c r="G16">
        <f>(F16-F32)*E16</f>
        <v>0</v>
      </c>
      <c r="H16">
        <f t="shared" si="4"/>
        <v>0</v>
      </c>
      <c r="I16">
        <f t="shared" si="1"/>
        <v>0</v>
      </c>
      <c r="K16">
        <f t="shared" si="2"/>
        <v>1000000</v>
      </c>
    </row>
    <row r="17" spans="1:11" x14ac:dyDescent="0.25">
      <c r="A17">
        <v>16</v>
      </c>
      <c r="B17">
        <v>25.15</v>
      </c>
      <c r="C17">
        <f>B17-B32</f>
        <v>-3.9999999999942304E-3</v>
      </c>
      <c r="D17" s="2">
        <f t="shared" si="3"/>
        <v>1.5999999999953843E-5</v>
      </c>
      <c r="E17">
        <f>IF(ABS(C17)&gt;(B33*D33),0,1)</f>
        <v>1</v>
      </c>
      <c r="F17">
        <f t="shared" si="0"/>
        <v>25.15</v>
      </c>
      <c r="G17">
        <f>(F17-F32)*E17</f>
        <v>-2.7600000000020941E-3</v>
      </c>
      <c r="H17">
        <f t="shared" si="4"/>
        <v>2.7600000000020941E-3</v>
      </c>
      <c r="I17">
        <f t="shared" si="1"/>
        <v>7.6199999999999999E-6</v>
      </c>
      <c r="K17">
        <f t="shared" si="2"/>
        <v>25.15</v>
      </c>
    </row>
    <row r="18" spans="1:11" x14ac:dyDescent="0.25">
      <c r="A18">
        <v>17</v>
      </c>
      <c r="B18">
        <v>25.16</v>
      </c>
      <c r="C18">
        <f>B18-B32</f>
        <v>6.0000000000073328E-3</v>
      </c>
      <c r="D18" s="2">
        <f t="shared" si="3"/>
        <v>3.6000000000087991E-5</v>
      </c>
      <c r="E18">
        <f>IF(ABS(C18)&gt;(B33*D33),0,1)</f>
        <v>1</v>
      </c>
      <c r="F18">
        <f t="shared" si="0"/>
        <v>25.16</v>
      </c>
      <c r="G18">
        <f>(F18-F32)*E18</f>
        <v>7.2399999999994691E-3</v>
      </c>
      <c r="H18">
        <f t="shared" si="4"/>
        <v>7.2399999999994691E-3</v>
      </c>
      <c r="I18">
        <f t="shared" si="1"/>
        <v>5.2420000000000003E-5</v>
      </c>
      <c r="K18">
        <f t="shared" si="2"/>
        <v>25.16</v>
      </c>
    </row>
    <row r="19" spans="1:11" x14ac:dyDescent="0.25">
      <c r="A19">
        <v>18</v>
      </c>
      <c r="B19">
        <v>25.17</v>
      </c>
      <c r="C19">
        <f>B19-B32</f>
        <v>1.6000000000008896E-2</v>
      </c>
      <c r="D19" s="2">
        <f t="shared" si="3"/>
        <v>2.5600000000028465E-4</v>
      </c>
      <c r="E19">
        <f>IF(ABS(C19)&gt;(B33*D33),0,1)</f>
        <v>1</v>
      </c>
      <c r="F19">
        <f t="shared" si="0"/>
        <v>25.17</v>
      </c>
      <c r="G19">
        <f>(F19-F32)*E19</f>
        <v>1.7240000000001032E-2</v>
      </c>
      <c r="H19">
        <f t="shared" si="4"/>
        <v>1.7240000000001032E-2</v>
      </c>
      <c r="I19">
        <f t="shared" si="1"/>
        <v>2.9722E-4</v>
      </c>
      <c r="K19">
        <f t="shared" si="2"/>
        <v>25.17</v>
      </c>
    </row>
    <row r="20" spans="1:11" x14ac:dyDescent="0.25">
      <c r="A20">
        <v>19</v>
      </c>
      <c r="B20">
        <v>25.13</v>
      </c>
      <c r="C20">
        <f>B20-B32</f>
        <v>-2.3999999999993804E-2</v>
      </c>
      <c r="D20" s="2">
        <f t="shared" si="3"/>
        <v>5.7599999999970262E-4</v>
      </c>
      <c r="E20">
        <f>IF(ABS(C20)&gt;(B33*D33),0,1)</f>
        <v>1</v>
      </c>
      <c r="F20">
        <f t="shared" si="0"/>
        <v>25.13</v>
      </c>
      <c r="G20">
        <f>(F20-F32)*E20</f>
        <v>-2.2760000000001668E-2</v>
      </c>
      <c r="H20">
        <f t="shared" si="4"/>
        <v>2.2760000000001668E-2</v>
      </c>
      <c r="I20">
        <f t="shared" si="1"/>
        <v>5.1802E-4</v>
      </c>
      <c r="K20">
        <f t="shared" si="2"/>
        <v>25.13</v>
      </c>
    </row>
    <row r="21" spans="1:11" x14ac:dyDescent="0.25">
      <c r="A21">
        <v>20</v>
      </c>
      <c r="B21">
        <v>25.14</v>
      </c>
      <c r="C21">
        <f>B21-B32</f>
        <v>-1.3999999999992241E-2</v>
      </c>
      <c r="D21" s="2">
        <f t="shared" si="3"/>
        <v>1.9599999999978275E-4</v>
      </c>
      <c r="E21">
        <f>IF(ABS(C21)&gt;(B33*D33),0,1)</f>
        <v>1</v>
      </c>
      <c r="F21">
        <f t="shared" si="0"/>
        <v>25.14</v>
      </c>
      <c r="G21">
        <f>(F21-F32)*E21</f>
        <v>-1.2760000000000105E-2</v>
      </c>
      <c r="H21">
        <f t="shared" si="4"/>
        <v>1.2760000000000105E-2</v>
      </c>
      <c r="I21">
        <f t="shared" si="1"/>
        <v>1.6281999999999999E-4</v>
      </c>
      <c r="K21">
        <f t="shared" si="2"/>
        <v>25.14</v>
      </c>
    </row>
    <row r="22" spans="1:11" x14ac:dyDescent="0.25">
      <c r="A22">
        <v>21</v>
      </c>
      <c r="B22">
        <v>25.16</v>
      </c>
      <c r="C22">
        <f>B22-B32</f>
        <v>6.0000000000073328E-3</v>
      </c>
      <c r="D22" s="2">
        <f t="shared" si="3"/>
        <v>3.6000000000087991E-5</v>
      </c>
      <c r="E22">
        <f>IF(ABS(C22)&gt;(B33*D33),0,1)</f>
        <v>1</v>
      </c>
      <c r="F22">
        <f t="shared" si="0"/>
        <v>25.16</v>
      </c>
      <c r="G22">
        <f>(F22-F32)*E22</f>
        <v>7.2399999999994691E-3</v>
      </c>
      <c r="H22">
        <f t="shared" si="4"/>
        <v>7.2399999999994691E-3</v>
      </c>
      <c r="I22">
        <f t="shared" si="1"/>
        <v>5.2420000000000003E-5</v>
      </c>
      <c r="K22">
        <f t="shared" si="2"/>
        <v>25.16</v>
      </c>
    </row>
    <row r="23" spans="1:11" x14ac:dyDescent="0.25">
      <c r="A23">
        <v>22</v>
      </c>
      <c r="B23">
        <v>25.17</v>
      </c>
      <c r="C23">
        <f>B23-B32</f>
        <v>1.6000000000008896E-2</v>
      </c>
      <c r="D23" s="2">
        <f t="shared" si="3"/>
        <v>2.5600000000028465E-4</v>
      </c>
      <c r="E23">
        <f>IF(ABS(C23)&gt;(B33*D33),0,1)</f>
        <v>1</v>
      </c>
      <c r="F23">
        <f t="shared" si="0"/>
        <v>25.17</v>
      </c>
      <c r="G23">
        <f>(F23-F32)*E23</f>
        <v>1.7240000000001032E-2</v>
      </c>
      <c r="H23">
        <f t="shared" si="4"/>
        <v>1.7240000000001032E-2</v>
      </c>
      <c r="I23">
        <f t="shared" si="1"/>
        <v>2.9722E-4</v>
      </c>
      <c r="K23">
        <f t="shared" si="2"/>
        <v>25.17</v>
      </c>
    </row>
    <row r="24" spans="1:11" x14ac:dyDescent="0.25">
      <c r="A24">
        <v>23</v>
      </c>
      <c r="B24">
        <v>25.15</v>
      </c>
      <c r="C24">
        <f>B24-B32</f>
        <v>-3.9999999999942304E-3</v>
      </c>
      <c r="D24" s="2">
        <f t="shared" si="3"/>
        <v>1.5999999999953843E-5</v>
      </c>
      <c r="E24">
        <f>IF(ABS(C24)&gt;(B33*D33),0,1)</f>
        <v>1</v>
      </c>
      <c r="F24">
        <f t="shared" si="0"/>
        <v>25.15</v>
      </c>
      <c r="G24">
        <f>(F24-F32)*E24</f>
        <v>-2.7600000000020941E-3</v>
      </c>
      <c r="H24">
        <f t="shared" si="4"/>
        <v>2.7600000000020941E-3</v>
      </c>
      <c r="I24">
        <f t="shared" si="1"/>
        <v>7.6199999999999999E-6</v>
      </c>
      <c r="K24">
        <f t="shared" si="2"/>
        <v>25.15</v>
      </c>
    </row>
    <row r="25" spans="1:11" x14ac:dyDescent="0.25">
      <c r="A25">
        <v>24</v>
      </c>
      <c r="B25">
        <v>25.15</v>
      </c>
      <c r="C25">
        <f>B25-B32</f>
        <v>-3.9999999999942304E-3</v>
      </c>
      <c r="D25" s="2">
        <f t="shared" si="3"/>
        <v>1.5999999999953843E-5</v>
      </c>
      <c r="E25">
        <f>IF(ABS(C25)&gt;(B33*D33),0,1)</f>
        <v>1</v>
      </c>
      <c r="F25">
        <f t="shared" si="0"/>
        <v>25.15</v>
      </c>
      <c r="G25">
        <f>(F25-F32)*E25</f>
        <v>-2.7600000000020941E-3</v>
      </c>
      <c r="H25">
        <f t="shared" si="4"/>
        <v>2.7600000000020941E-3</v>
      </c>
      <c r="I25">
        <f t="shared" si="1"/>
        <v>7.6199999999999999E-6</v>
      </c>
      <c r="K25">
        <f t="shared" si="2"/>
        <v>25.15</v>
      </c>
    </row>
    <row r="26" spans="1:11" x14ac:dyDescent="0.25">
      <c r="A26">
        <v>25</v>
      </c>
      <c r="B26">
        <v>25.18</v>
      </c>
      <c r="C26">
        <f>B26-B32</f>
        <v>2.6000000000006906E-2</v>
      </c>
      <c r="D26" s="2">
        <f t="shared" si="3"/>
        <v>6.7600000000035915E-4</v>
      </c>
      <c r="E26">
        <f>IF(ABS(C26)&gt;(B33*D33),0,1)</f>
        <v>1</v>
      </c>
      <c r="F26">
        <f t="shared" si="0"/>
        <v>25.18</v>
      </c>
      <c r="G26">
        <f>(F26-F32)*E26</f>
        <v>2.7239999999999043E-2</v>
      </c>
      <c r="H26">
        <f t="shared" si="4"/>
        <v>2.7239999999999043E-2</v>
      </c>
      <c r="I26">
        <f t="shared" si="1"/>
        <v>7.4202000000000003E-4</v>
      </c>
      <c r="K26">
        <f t="shared" si="2"/>
        <v>25.18</v>
      </c>
    </row>
    <row r="27" spans="1:11" x14ac:dyDescent="0.25">
      <c r="A27">
        <v>26</v>
      </c>
      <c r="B27">
        <v>25.15</v>
      </c>
      <c r="C27">
        <f>B27-B32</f>
        <v>-3.9999999999942304E-3</v>
      </c>
      <c r="D27" s="2">
        <f t="shared" si="3"/>
        <v>1.5999999999953843E-5</v>
      </c>
      <c r="E27">
        <f>IF(ABS(C27)&gt;(B33*D33),0,1)</f>
        <v>1</v>
      </c>
      <c r="F27">
        <f t="shared" si="0"/>
        <v>25.15</v>
      </c>
      <c r="G27">
        <f>(F27-F32)*E27</f>
        <v>-2.7600000000020941E-3</v>
      </c>
      <c r="H27">
        <f t="shared" si="4"/>
        <v>2.7600000000020941E-3</v>
      </c>
      <c r="I27">
        <f t="shared" si="1"/>
        <v>7.6199999999999999E-6</v>
      </c>
      <c r="K27">
        <f t="shared" si="2"/>
        <v>25.15</v>
      </c>
    </row>
    <row r="28" spans="1:11" x14ac:dyDescent="0.25">
      <c r="A28">
        <v>27</v>
      </c>
      <c r="B28">
        <v>25.15</v>
      </c>
      <c r="C28">
        <f>B28-B32</f>
        <v>-3.9999999999942304E-3</v>
      </c>
      <c r="D28" s="2">
        <f t="shared" si="3"/>
        <v>1.5999999999953843E-5</v>
      </c>
      <c r="E28">
        <f>IF(ABS(C28)&gt;(B33*D33),0,1)</f>
        <v>1</v>
      </c>
      <c r="F28">
        <f t="shared" si="0"/>
        <v>25.15</v>
      </c>
      <c r="G28">
        <f>(F28-F32)*E28</f>
        <v>-2.7600000000020941E-3</v>
      </c>
      <c r="H28">
        <f t="shared" si="4"/>
        <v>2.7600000000020941E-3</v>
      </c>
      <c r="I28">
        <f t="shared" si="1"/>
        <v>7.6199999999999999E-6</v>
      </c>
      <c r="K28">
        <f t="shared" si="2"/>
        <v>25.15</v>
      </c>
    </row>
    <row r="29" spans="1:11" x14ac:dyDescent="0.25">
      <c r="A29">
        <v>28</v>
      </c>
      <c r="B29">
        <v>25.16</v>
      </c>
      <c r="C29">
        <f>B29-B32</f>
        <v>6.0000000000073328E-3</v>
      </c>
      <c r="D29" s="2">
        <f t="shared" si="3"/>
        <v>3.6000000000087991E-5</v>
      </c>
      <c r="E29">
        <f>IF(ABS(C29)&gt;(B33*D33),0,1)</f>
        <v>1</v>
      </c>
      <c r="F29">
        <f t="shared" si="0"/>
        <v>25.16</v>
      </c>
      <c r="G29">
        <f>(F29-F32)*E29</f>
        <v>7.2399999999994691E-3</v>
      </c>
      <c r="H29">
        <f t="shared" si="4"/>
        <v>7.2399999999994691E-3</v>
      </c>
      <c r="I29">
        <f t="shared" si="1"/>
        <v>5.2420000000000003E-5</v>
      </c>
      <c r="K29">
        <f t="shared" si="2"/>
        <v>25.16</v>
      </c>
    </row>
    <row r="30" spans="1:11" x14ac:dyDescent="0.25">
      <c r="A30">
        <v>29</v>
      </c>
      <c r="B30">
        <v>25.13</v>
      </c>
      <c r="C30">
        <f>B30-B32</f>
        <v>-2.3999999999993804E-2</v>
      </c>
      <c r="D30" s="2">
        <f t="shared" si="3"/>
        <v>5.7599999999970262E-4</v>
      </c>
      <c r="E30">
        <f>IF(ABS(C30)&gt;(B33*D33),0,1)</f>
        <v>1</v>
      </c>
      <c r="F30">
        <f t="shared" si="0"/>
        <v>25.13</v>
      </c>
      <c r="G30">
        <f>(F30-F32)*E30</f>
        <v>-2.2760000000001668E-2</v>
      </c>
      <c r="H30">
        <f t="shared" si="4"/>
        <v>2.2760000000001668E-2</v>
      </c>
      <c r="I30">
        <f t="shared" si="1"/>
        <v>5.1802E-4</v>
      </c>
      <c r="K30">
        <f t="shared" si="2"/>
        <v>25.13</v>
      </c>
    </row>
    <row r="31" spans="1:11" x14ac:dyDescent="0.25">
      <c r="A31">
        <v>30</v>
      </c>
      <c r="B31">
        <v>25.15</v>
      </c>
      <c r="C31">
        <f>B31-B32</f>
        <v>-3.9999999999942304E-3</v>
      </c>
      <c r="D31" s="2">
        <f>C31^2</f>
        <v>1.5999999999953843E-5</v>
      </c>
      <c r="E31">
        <f>IF(ABS(C31)&gt;(B33*D33),0,1)</f>
        <v>1</v>
      </c>
      <c r="F31">
        <f t="shared" si="0"/>
        <v>25.15</v>
      </c>
      <c r="G31">
        <f>(F31-F32)*E31</f>
        <v>-2.7600000000020941E-3</v>
      </c>
      <c r="H31">
        <f t="shared" si="4"/>
        <v>2.7600000000020941E-3</v>
      </c>
      <c r="I31">
        <f t="shared" si="1"/>
        <v>7.6199999999999999E-6</v>
      </c>
      <c r="K31">
        <f t="shared" si="2"/>
        <v>25.15</v>
      </c>
    </row>
    <row r="32" spans="1:11" ht="17.25" x14ac:dyDescent="0.25">
      <c r="A32" t="s">
        <v>4</v>
      </c>
      <c r="B32">
        <f>SUM(B2:B31)/30</f>
        <v>25.153999999999993</v>
      </c>
      <c r="C32" s="3" t="s">
        <v>5</v>
      </c>
      <c r="D32" s="2">
        <f>SUM(D2:D31)</f>
        <v>7.9200000000004579E-3</v>
      </c>
      <c r="E32" s="1" t="s">
        <v>4</v>
      </c>
      <c r="F32">
        <f>ROUND(SUM(F2:F31)/SUM(E2:E31),5)</f>
        <v>25.152760000000001</v>
      </c>
      <c r="H32">
        <f>SUM(H2:H31)</f>
        <v>0.35380000000002454</v>
      </c>
      <c r="I32">
        <f>SUM(I2:I31)</f>
        <v>6.5793800000000001E-3</v>
      </c>
    </row>
    <row r="33" spans="1:9" ht="18" x14ac:dyDescent="0.35">
      <c r="A33" s="1" t="s">
        <v>6</v>
      </c>
      <c r="B33">
        <f>ROUND(SQRT(D32/29),4)</f>
        <v>1.6500000000000001E-2</v>
      </c>
      <c r="C33" s="1" t="s">
        <v>7</v>
      </c>
      <c r="D33">
        <v>2.13</v>
      </c>
      <c r="E33" t="s">
        <v>8</v>
      </c>
      <c r="F33">
        <f>SUM(E2:E31)</f>
        <v>29</v>
      </c>
      <c r="G33" s="6" t="s">
        <v>6</v>
      </c>
      <c r="H33">
        <f>SQRT(I32/(F33-1))</f>
        <v>1.5328987479375705E-2</v>
      </c>
    </row>
    <row r="34" spans="1:9" ht="20.25" x14ac:dyDescent="0.25">
      <c r="B34" s="4" t="s">
        <v>9</v>
      </c>
    </row>
    <row r="35" spans="1:9" ht="18" x14ac:dyDescent="0.35">
      <c r="A35" t="s">
        <v>10</v>
      </c>
      <c r="B35">
        <f>MIN(K2:K31)</f>
        <v>25.12</v>
      </c>
      <c r="C35" t="s">
        <v>12</v>
      </c>
      <c r="D35">
        <v>7</v>
      </c>
      <c r="F35" t="s">
        <v>14</v>
      </c>
      <c r="I35" t="s">
        <v>15</v>
      </c>
    </row>
    <row r="36" spans="1:9" ht="18" x14ac:dyDescent="0.35">
      <c r="A36" t="s">
        <v>11</v>
      </c>
      <c r="B36">
        <f>MAX(F2:F31)</f>
        <v>25.18</v>
      </c>
      <c r="C36" t="s">
        <v>13</v>
      </c>
      <c r="D36">
        <f>ROUND((B36-B35)/D35,4)</f>
        <v>8.6E-3</v>
      </c>
      <c r="F36">
        <f>B35</f>
        <v>25.12</v>
      </c>
      <c r="G36">
        <f>B35+D36</f>
        <v>25.128600000000002</v>
      </c>
      <c r="I36">
        <f>COUNTIFS(F2:F31,"&gt;=" &amp; F36,F2:F31, "&lt;=" &amp; G36)</f>
        <v>1</v>
      </c>
    </row>
    <row r="37" spans="1:9" x14ac:dyDescent="0.25">
      <c r="F37">
        <f>G36</f>
        <v>25.128600000000002</v>
      </c>
      <c r="G37">
        <f>F37+D36</f>
        <v>25.137200000000004</v>
      </c>
      <c r="I37">
        <f>COUNTIFS(F2:F31,"&gt;=" &amp; F37,F2:F31, "&lt;=" &amp; G37)</f>
        <v>3</v>
      </c>
    </row>
    <row r="38" spans="1:9" x14ac:dyDescent="0.25">
      <c r="F38">
        <f t="shared" ref="F38:F42" si="5">G37</f>
        <v>25.137200000000004</v>
      </c>
      <c r="G38">
        <f>F38+D36</f>
        <v>25.145800000000005</v>
      </c>
      <c r="I38">
        <f>COUNTIFS(F2:F31,"&gt;=" &amp; F38,F2:F31, "&lt;=" &amp; G38)</f>
        <v>4</v>
      </c>
    </row>
    <row r="39" spans="1:9" x14ac:dyDescent="0.25">
      <c r="F39">
        <f t="shared" si="5"/>
        <v>25.145800000000005</v>
      </c>
      <c r="G39">
        <f>F39+D36</f>
        <v>25.154400000000006</v>
      </c>
      <c r="I39">
        <f>COUNTIFS(F2:F31,"&gt;=" &amp; F39,F2:F31, "&lt;=" &amp; G39)</f>
        <v>9</v>
      </c>
    </row>
    <row r="40" spans="1:9" x14ac:dyDescent="0.25">
      <c r="F40">
        <f t="shared" si="5"/>
        <v>25.154400000000006</v>
      </c>
      <c r="G40">
        <f>F40+D36</f>
        <v>25.163000000000007</v>
      </c>
      <c r="I40">
        <f>COUNTIFS(F2:F31,"&gt;=" &amp; F40,F2:F31, "&lt;=" &amp; G40)</f>
        <v>5</v>
      </c>
    </row>
    <row r="41" spans="1:9" x14ac:dyDescent="0.25">
      <c r="F41">
        <f t="shared" si="5"/>
        <v>25.163000000000007</v>
      </c>
      <c r="G41">
        <f>F41+D36</f>
        <v>25.171600000000009</v>
      </c>
      <c r="I41">
        <f>COUNTIFS(F2:F31,"&gt;=" &amp; F41,F2:F31, "&lt;=" &amp; G41)</f>
        <v>5</v>
      </c>
    </row>
    <row r="42" spans="1:9" x14ac:dyDescent="0.25">
      <c r="F42">
        <f t="shared" si="5"/>
        <v>25.171600000000009</v>
      </c>
      <c r="G42">
        <f>F42+D36</f>
        <v>25.18020000000001</v>
      </c>
      <c r="I42">
        <f>COUNTIFS(F2:F31,"&gt;=" &amp; F42,F2:F31, "&lt;=" &amp; G42)</f>
        <v>2</v>
      </c>
    </row>
    <row r="58" spans="1:10" ht="20.25" x14ac:dyDescent="0.25">
      <c r="B58" s="4" t="s">
        <v>16</v>
      </c>
    </row>
    <row r="59" spans="1:10" ht="18.75" x14ac:dyDescent="0.3">
      <c r="A59" s="5" t="s">
        <v>17</v>
      </c>
      <c r="E59" s="1" t="s">
        <v>22</v>
      </c>
    </row>
    <row r="60" spans="1:10" ht="18" x14ac:dyDescent="0.35">
      <c r="A60" t="s">
        <v>18</v>
      </c>
      <c r="B60">
        <f>ROUND(SQRT(I32/F33),4)</f>
        <v>1.5100000000000001E-2</v>
      </c>
      <c r="D60" t="s">
        <v>20</v>
      </c>
      <c r="E60">
        <v>0.71</v>
      </c>
      <c r="F60" s="6" t="s">
        <v>23</v>
      </c>
      <c r="G60" s="7">
        <v>0.01</v>
      </c>
    </row>
    <row r="61" spans="1:10" ht="18" x14ac:dyDescent="0.35">
      <c r="A61" t="s">
        <v>19</v>
      </c>
      <c r="B61">
        <f>H32/(F33*B60)</f>
        <v>0.80794701986760564</v>
      </c>
      <c r="D61" s="6" t="s">
        <v>21</v>
      </c>
      <c r="E61">
        <v>0.88</v>
      </c>
    </row>
    <row r="62" spans="1:10" x14ac:dyDescent="0.25">
      <c r="B62" t="s">
        <v>24</v>
      </c>
      <c r="C62" t="str">
        <f>IF(B61&gt;E60, IF(B61&lt;E61,"выполняется","не выполняется"),"не выполняется")</f>
        <v>выполняется</v>
      </c>
    </row>
    <row r="63" spans="1:10" ht="18.75" x14ac:dyDescent="0.3">
      <c r="A63" s="5" t="s">
        <v>34</v>
      </c>
      <c r="B63" s="5"/>
    </row>
    <row r="64" spans="1:10" x14ac:dyDescent="0.25">
      <c r="A64" t="s">
        <v>25</v>
      </c>
      <c r="D64">
        <v>0.05</v>
      </c>
      <c r="E64" t="s">
        <v>26</v>
      </c>
      <c r="F64">
        <f>F33</f>
        <v>29</v>
      </c>
      <c r="G64" s="6" t="s">
        <v>27</v>
      </c>
      <c r="H64">
        <v>0.97</v>
      </c>
      <c r="I64" t="s">
        <v>28</v>
      </c>
      <c r="J64">
        <v>2</v>
      </c>
    </row>
    <row r="65" spans="1:7" ht="18" x14ac:dyDescent="0.35">
      <c r="A65" t="s">
        <v>29</v>
      </c>
      <c r="C65">
        <v>2.17</v>
      </c>
    </row>
    <row r="66" spans="1:7" ht="18" x14ac:dyDescent="0.35">
      <c r="A66" t="s">
        <v>30</v>
      </c>
      <c r="C66">
        <f>H33*C65</f>
        <v>3.326390283024528E-2</v>
      </c>
    </row>
    <row r="67" spans="1:7" ht="18" x14ac:dyDescent="0.35">
      <c r="A67" t="s">
        <v>31</v>
      </c>
      <c r="E67">
        <f>COUNTIFS(H2:H31,"&gt;"&amp;C66)</f>
        <v>0</v>
      </c>
    </row>
    <row r="68" spans="1:7" x14ac:dyDescent="0.25">
      <c r="A68" t="s">
        <v>32</v>
      </c>
      <c r="E68" t="str">
        <f>IF(E67&lt;J64,"выполняется","не выполняется")</f>
        <v>выполняется</v>
      </c>
    </row>
    <row r="69" spans="1:7" ht="18.75" x14ac:dyDescent="0.3">
      <c r="A69" s="8" t="s">
        <v>33</v>
      </c>
      <c r="G69" t="str">
        <f>IF(C62="выполняется",IF(E68="выполняется","подтверждается","не подтверждается"),"не подтверждается")</f>
        <v>подтверждается</v>
      </c>
    </row>
    <row r="70" spans="1:7" ht="20.25" x14ac:dyDescent="0.3">
      <c r="B70" s="9" t="s">
        <v>35</v>
      </c>
    </row>
    <row r="71" spans="1:7" ht="23.25" x14ac:dyDescent="0.4">
      <c r="A71" s="10" t="s">
        <v>36</v>
      </c>
    </row>
    <row r="72" spans="1:7" ht="18" x14ac:dyDescent="0.35">
      <c r="A72" t="s">
        <v>37</v>
      </c>
      <c r="B72">
        <v>2.0484100000000001</v>
      </c>
    </row>
    <row r="73" spans="1:7" ht="20.25" x14ac:dyDescent="0.3">
      <c r="A73" s="10" t="s">
        <v>38</v>
      </c>
    </row>
    <row r="74" spans="1:7" ht="18" x14ac:dyDescent="0.35">
      <c r="A74" s="11" t="s">
        <v>39</v>
      </c>
      <c r="C74">
        <f>B72*H33/SQRT(F33)</f>
        <v>5.8308431342765617E-3</v>
      </c>
    </row>
    <row r="75" spans="1:7" ht="20.25" x14ac:dyDescent="0.3">
      <c r="B75" s="9" t="s">
        <v>40</v>
      </c>
    </row>
    <row r="76" spans="1:7" x14ac:dyDescent="0.25">
      <c r="A76" t="s">
        <v>41</v>
      </c>
    </row>
    <row r="77" spans="1:7" x14ac:dyDescent="0.25">
      <c r="A77" t="s">
        <v>42</v>
      </c>
    </row>
    <row r="78" spans="1:7" ht="15.75" x14ac:dyDescent="0.25">
      <c r="A78" t="s">
        <v>43</v>
      </c>
    </row>
    <row r="79" spans="1:7" x14ac:dyDescent="0.25">
      <c r="A79" t="s">
        <v>44</v>
      </c>
    </row>
    <row r="80" spans="1:7" x14ac:dyDescent="0.25">
      <c r="B80" t="s">
        <v>45</v>
      </c>
      <c r="D80">
        <v>0.02</v>
      </c>
    </row>
    <row r="81" spans="1:8" ht="20.25" x14ac:dyDescent="0.25">
      <c r="B81" s="4" t="s">
        <v>46</v>
      </c>
    </row>
    <row r="82" spans="1:8" x14ac:dyDescent="0.25">
      <c r="A82" t="s">
        <v>47</v>
      </c>
      <c r="C82">
        <f>H33/SQRT(F33)</f>
        <v>2.8465215138944655E-3</v>
      </c>
    </row>
    <row r="83" spans="1:8" x14ac:dyDescent="0.25">
      <c r="A83" t="s">
        <v>48</v>
      </c>
      <c r="C83">
        <f>D80/C82</f>
        <v>7.0261193890071887</v>
      </c>
    </row>
    <row r="84" spans="1:8" ht="20.25" x14ac:dyDescent="0.3">
      <c r="A84" s="10" t="s">
        <v>49</v>
      </c>
    </row>
    <row r="85" spans="1:8" x14ac:dyDescent="0.25">
      <c r="A85" t="s">
        <v>52</v>
      </c>
    </row>
    <row r="86" spans="1:8" x14ac:dyDescent="0.25">
      <c r="A86" t="s">
        <v>50</v>
      </c>
    </row>
    <row r="87" spans="1:8" x14ac:dyDescent="0.25">
      <c r="B87" t="s">
        <v>51</v>
      </c>
      <c r="D87">
        <f>IF(C83&lt;0.8,0,D80)</f>
        <v>0.02</v>
      </c>
    </row>
    <row r="88" spans="1:8" x14ac:dyDescent="0.25">
      <c r="A88" t="s">
        <v>53</v>
      </c>
    </row>
    <row r="89" spans="1:8" ht="18" x14ac:dyDescent="0.35">
      <c r="B89" t="s">
        <v>54</v>
      </c>
      <c r="D89">
        <f>IF(C83&gt;8,0,C74)</f>
        <v>5.8308431342765617E-3</v>
      </c>
    </row>
    <row r="90" spans="1:8" ht="18.75" x14ac:dyDescent="0.35">
      <c r="A90" t="s">
        <v>55</v>
      </c>
      <c r="C90">
        <f>SQRT(D89^2+D87^2)</f>
        <v>2.0832636214760246E-2</v>
      </c>
    </row>
    <row r="91" spans="1:8" ht="20.25" x14ac:dyDescent="0.3">
      <c r="B91" s="9" t="s">
        <v>56</v>
      </c>
    </row>
    <row r="92" spans="1:8" ht="18" x14ac:dyDescent="0.35">
      <c r="A92" t="s">
        <v>57</v>
      </c>
      <c r="D92">
        <f>ROUND(F32,3)</f>
        <v>25.152999999999999</v>
      </c>
      <c r="E92" s="3" t="s">
        <v>58</v>
      </c>
      <c r="F92">
        <f>ROUND(C90,3)</f>
        <v>2.1000000000000001E-2</v>
      </c>
      <c r="G92" t="s">
        <v>59</v>
      </c>
      <c r="H92">
        <v>0.95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Лист2</vt:lpstr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SimaxS</dc:creator>
  <cp:lastModifiedBy>SimaxS</cp:lastModifiedBy>
  <dcterms:created xsi:type="dcterms:W3CDTF">2020-05-11T17:49:49Z</dcterms:created>
  <dcterms:modified xsi:type="dcterms:W3CDTF">2020-05-14T22:08:43Z</dcterms:modified>
</cp:coreProperties>
</file>